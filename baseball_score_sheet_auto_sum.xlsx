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199B12-7041-4655-A82E-C45329BCE4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攻守紀錄表" sheetId="1" r:id="rId1"/>
    <sheet name="日期清單" sheetId="2" state="hidden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6" i="1" l="1"/>
  <c r="K46" i="1"/>
  <c r="J46" i="1"/>
  <c r="I46" i="1"/>
  <c r="M46" i="1" s="1"/>
  <c r="H46" i="1"/>
  <c r="G46" i="1"/>
  <c r="F46" i="1"/>
  <c r="E46" i="1"/>
  <c r="D46" i="1"/>
  <c r="M45" i="1"/>
  <c r="M44" i="1"/>
  <c r="M43" i="1"/>
  <c r="M42" i="1"/>
  <c r="V38" i="1"/>
  <c r="U38" i="1"/>
  <c r="T38" i="1"/>
  <c r="S38" i="1"/>
  <c r="R38" i="1"/>
  <c r="Q38" i="1"/>
  <c r="P38" i="1"/>
  <c r="O38" i="1"/>
  <c r="W38" i="1" s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</calcChain>
</file>

<file path=xl/sharedStrings.xml><?xml version="1.0" encoding="utf-8"?>
<sst xmlns="http://schemas.openxmlformats.org/spreadsheetml/2006/main" count="103" uniqueCount="59">
  <si>
    <t>比賽日期:</t>
  </si>
  <si>
    <t>比賽名稱:</t>
  </si>
  <si>
    <t>主客場:</t>
  </si>
  <si>
    <t>球隊名稱</t>
  </si>
  <si>
    <t>1</t>
  </si>
  <si>
    <t>2</t>
  </si>
  <si>
    <t>3</t>
  </si>
  <si>
    <t>4</t>
  </si>
  <si>
    <t>5</t>
  </si>
  <si>
    <t>6</t>
  </si>
  <si>
    <t>7</t>
  </si>
  <si>
    <t>8</t>
  </si>
  <si>
    <t>9</t>
  </si>
  <si>
    <t>R</t>
  </si>
  <si>
    <t>H</t>
  </si>
  <si>
    <t>E</t>
  </si>
  <si>
    <t>先攻 (客)</t>
  </si>
  <si>
    <t>後攻 (主)</t>
  </si>
  <si>
    <t>【 打擊與守備表現紀錄區 】</t>
  </si>
  <si>
    <t>棒次</t>
  </si>
  <si>
    <t>身分</t>
  </si>
  <si>
    <t>背號</t>
  </si>
  <si>
    <t>姓名</t>
  </si>
  <si>
    <t>守位</t>
  </si>
  <si>
    <r>
      <rPr>
        <b/>
        <sz val="10"/>
        <color rgb="FFFFFFFF"/>
        <rFont val="Microsoft JhengHei"/>
        <family val="2"/>
        <charset val="136"/>
      </rPr>
      <t xml:space="preserve">AB
</t>
    </r>
    <r>
      <rPr>
        <b/>
        <sz val="10"/>
        <color rgb="FFFFFFFF"/>
        <rFont val="Noto Sans CJK SC"/>
        <family val="2"/>
      </rPr>
      <t>打數</t>
    </r>
  </si>
  <si>
    <r>
      <rPr>
        <b/>
        <sz val="10"/>
        <color rgb="FFFFFFFF"/>
        <rFont val="Microsoft JhengHei"/>
        <family val="2"/>
        <charset val="136"/>
      </rPr>
      <t xml:space="preserve">R
</t>
    </r>
    <r>
      <rPr>
        <b/>
        <sz val="10"/>
        <color rgb="FFFFFFFF"/>
        <rFont val="Noto Sans CJK SC"/>
        <family val="2"/>
      </rPr>
      <t>得分</t>
    </r>
  </si>
  <si>
    <r>
      <rPr>
        <b/>
        <sz val="10"/>
        <color rgb="FFFFFFFF"/>
        <rFont val="Microsoft JhengHei"/>
        <family val="2"/>
        <charset val="136"/>
      </rPr>
      <t xml:space="preserve">H
</t>
    </r>
    <r>
      <rPr>
        <b/>
        <sz val="10"/>
        <color rgb="FFFFFFFF"/>
        <rFont val="Noto Sans CJK SC"/>
        <family val="2"/>
      </rPr>
      <t>安打</t>
    </r>
  </si>
  <si>
    <r>
      <rPr>
        <b/>
        <sz val="10"/>
        <color rgb="FFFFFFFF"/>
        <rFont val="Microsoft JhengHei"/>
        <family val="2"/>
        <charset val="136"/>
      </rPr>
      <t xml:space="preserve">RBI
</t>
    </r>
    <r>
      <rPr>
        <b/>
        <sz val="10"/>
        <color rgb="FFFFFFFF"/>
        <rFont val="Noto Sans CJK SC"/>
        <family val="2"/>
      </rPr>
      <t>打點</t>
    </r>
  </si>
  <si>
    <r>
      <rPr>
        <b/>
        <sz val="10"/>
        <color rgb="FFFFFFFF"/>
        <rFont val="Microsoft JhengHei"/>
        <family val="2"/>
        <charset val="136"/>
      </rPr>
      <t xml:space="preserve">BB/HP
</t>
    </r>
    <r>
      <rPr>
        <b/>
        <sz val="10"/>
        <color rgb="FFFFFFFF"/>
        <rFont val="Noto Sans CJK SC"/>
        <family val="2"/>
      </rPr>
      <t>四死</t>
    </r>
  </si>
  <si>
    <r>
      <rPr>
        <b/>
        <sz val="10"/>
        <color rgb="FFFFFFFF"/>
        <rFont val="Microsoft JhengHei"/>
        <family val="2"/>
        <charset val="136"/>
      </rPr>
      <t xml:space="preserve">SO
</t>
    </r>
    <r>
      <rPr>
        <b/>
        <sz val="10"/>
        <color rgb="FFFFFFFF"/>
        <rFont val="Noto Sans CJK SC"/>
        <family val="2"/>
      </rPr>
      <t>三振</t>
    </r>
  </si>
  <si>
    <r>
      <rPr>
        <b/>
        <sz val="10"/>
        <color rgb="FFFFFFFF"/>
        <rFont val="Microsoft JhengHei"/>
        <family val="2"/>
        <charset val="136"/>
      </rPr>
      <t xml:space="preserve">SB
</t>
    </r>
    <r>
      <rPr>
        <b/>
        <sz val="10"/>
        <color rgb="FFFFFFFF"/>
        <rFont val="Noto Sans CJK SC"/>
        <family val="2"/>
      </rPr>
      <t>盜壘</t>
    </r>
  </si>
  <si>
    <r>
      <rPr>
        <b/>
        <sz val="10"/>
        <color rgb="FFFFFFFF"/>
        <rFont val="Microsoft JhengHei"/>
        <family val="2"/>
        <charset val="136"/>
      </rPr>
      <t xml:space="preserve">E
</t>
    </r>
    <r>
      <rPr>
        <b/>
        <sz val="10"/>
        <color rgb="FFFFFFFF"/>
        <rFont val="Noto Sans CJK SC"/>
        <family val="2"/>
      </rPr>
      <t>失誤</t>
    </r>
  </si>
  <si>
    <r>
      <rPr>
        <b/>
        <sz val="10"/>
        <color rgb="FFFFFFFF"/>
        <rFont val="Microsoft JhengHei"/>
        <family val="2"/>
        <charset val="136"/>
      </rPr>
      <t xml:space="preserve">AVG
</t>
    </r>
    <r>
      <rPr>
        <b/>
        <sz val="10"/>
        <color rgb="FFFFFFFF"/>
        <rFont val="Noto Sans CJK SC"/>
        <family val="2"/>
      </rPr>
      <t>打擊率</t>
    </r>
  </si>
  <si>
    <t>先發</t>
  </si>
  <si>
    <t>替換1</t>
  </si>
  <si>
    <t>替換2</t>
  </si>
  <si>
    <t>團隊打擊與守備總計</t>
  </si>
  <si>
    <t>【 投手表現紀錄專區 】</t>
  </si>
  <si>
    <t>順序</t>
  </si>
  <si>
    <r>
      <rPr>
        <b/>
        <sz val="10"/>
        <color rgb="FF1C2D42"/>
        <rFont val="Microsoft JhengHei"/>
        <family val="2"/>
        <charset val="136"/>
      </rPr>
      <t xml:space="preserve">IP
</t>
    </r>
    <r>
      <rPr>
        <b/>
        <sz val="10"/>
        <color rgb="FF1C2D42"/>
        <rFont val="Noto Sans CJK SC"/>
        <family val="2"/>
      </rPr>
      <t>局數</t>
    </r>
  </si>
  <si>
    <r>
      <rPr>
        <b/>
        <sz val="10"/>
        <color rgb="FF1C2D42"/>
        <rFont val="Microsoft JhengHei"/>
        <family val="2"/>
        <charset val="136"/>
      </rPr>
      <t xml:space="preserve">NP
</t>
    </r>
    <r>
      <rPr>
        <b/>
        <sz val="10"/>
        <color rgb="FF1C2D42"/>
        <rFont val="Noto Sans CJK SC"/>
        <family val="2"/>
      </rPr>
      <t>球數</t>
    </r>
  </si>
  <si>
    <r>
      <rPr>
        <b/>
        <sz val="10"/>
        <color rgb="FF1C2D42"/>
        <rFont val="Microsoft JhengHei"/>
        <family val="2"/>
        <charset val="136"/>
      </rPr>
      <t xml:space="preserve">H
</t>
    </r>
    <r>
      <rPr>
        <b/>
        <sz val="10"/>
        <color rgb="FF1C2D42"/>
        <rFont val="Noto Sans CJK SC"/>
        <family val="2"/>
      </rPr>
      <t>被安打</t>
    </r>
  </si>
  <si>
    <r>
      <rPr>
        <b/>
        <sz val="10"/>
        <color rgb="FF1C2D42"/>
        <rFont val="Microsoft JhengHei"/>
        <family val="2"/>
        <charset val="136"/>
      </rPr>
      <t xml:space="preserve">R
</t>
    </r>
    <r>
      <rPr>
        <b/>
        <sz val="10"/>
        <color rgb="FF1C2D42"/>
        <rFont val="Noto Sans CJK SC"/>
        <family val="2"/>
      </rPr>
      <t>失分</t>
    </r>
  </si>
  <si>
    <r>
      <rPr>
        <b/>
        <sz val="10"/>
        <color rgb="FF1C2D42"/>
        <rFont val="Microsoft JhengHei"/>
        <family val="2"/>
        <charset val="136"/>
      </rPr>
      <t xml:space="preserve">ER
</t>
    </r>
    <r>
      <rPr>
        <b/>
        <sz val="10"/>
        <color rgb="FF1C2D42"/>
        <rFont val="Noto Sans CJK SC"/>
        <family val="2"/>
      </rPr>
      <t>自責分</t>
    </r>
  </si>
  <si>
    <r>
      <rPr>
        <b/>
        <sz val="10"/>
        <color rgb="FF1C2D42"/>
        <rFont val="Microsoft JhengHei"/>
        <family val="2"/>
        <charset val="136"/>
      </rPr>
      <t xml:space="preserve">SO
</t>
    </r>
    <r>
      <rPr>
        <b/>
        <sz val="10"/>
        <color rgb="FF1C2D42"/>
        <rFont val="Noto Sans CJK SC"/>
        <family val="2"/>
      </rPr>
      <t>三振</t>
    </r>
  </si>
  <si>
    <r>
      <rPr>
        <b/>
        <sz val="10"/>
        <color rgb="FF1C2D42"/>
        <rFont val="Microsoft JhengHei"/>
        <family val="2"/>
        <charset val="136"/>
      </rPr>
      <t xml:space="preserve">HR
</t>
    </r>
    <r>
      <rPr>
        <b/>
        <sz val="10"/>
        <color rgb="FF1C2D42"/>
        <rFont val="Noto Sans CJK SC"/>
        <family val="2"/>
      </rPr>
      <t>被轟</t>
    </r>
  </si>
  <si>
    <r>
      <rPr>
        <b/>
        <sz val="10"/>
        <color rgb="FF1C2D42"/>
        <rFont val="Microsoft JhengHei"/>
        <family val="2"/>
        <charset val="136"/>
      </rPr>
      <t xml:space="preserve">ERA
</t>
    </r>
    <r>
      <rPr>
        <b/>
        <sz val="10"/>
        <color rgb="FF1C2D42"/>
        <rFont val="Noto Sans CJK SC"/>
        <family val="2"/>
      </rPr>
      <t>防禦率</t>
    </r>
  </si>
  <si>
    <t>第 2 任</t>
  </si>
  <si>
    <t>第 3 任</t>
  </si>
  <si>
    <t>第 4 任</t>
  </si>
  <si>
    <t>團隊投手總計</t>
  </si>
  <si>
    <t>比賽日期清單（可依需求增刪）</t>
  </si>
  <si>
    <t>對手球隊</t>
    <phoneticPr fontId="15" type="noConversion"/>
  </si>
  <si>
    <t>球隊名稱</t>
    <phoneticPr fontId="15" type="noConversion"/>
  </si>
  <si>
    <t>比賽地點</t>
    <phoneticPr fontId="15" type="noConversion"/>
  </si>
  <si>
    <t>先發</t>
    <phoneticPr fontId="15" type="noConversion"/>
  </si>
  <si>
    <r>
      <t xml:space="preserve">BB
</t>
    </r>
    <r>
      <rPr>
        <b/>
        <sz val="10"/>
        <color rgb="FF1C2D42"/>
        <rFont val="微軟正黑體"/>
        <family val="2"/>
        <charset val="136"/>
      </rPr>
      <t>四死</t>
    </r>
    <phoneticPr fontId="15" type="noConversion"/>
  </si>
  <si>
    <r>
      <t xml:space="preserve">BF
</t>
    </r>
    <r>
      <rPr>
        <b/>
        <sz val="10"/>
        <color rgb="FF1C2D42"/>
        <rFont val="微軟正黑體"/>
        <family val="2"/>
        <charset val="136"/>
      </rPr>
      <t>人次</t>
    </r>
    <phoneticPr fontId="15" type="noConversion"/>
  </si>
  <si>
    <t>棒球攻守紀錄表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</si>
</sst>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00"/>
  </numFmts>
  <fonts count="20">
    <font>
      <sz val="11"/>
      <color theme="1"/>
      <name val="新細明體"/>
      <family val="2"/>
      <charset val="1"/>
    </font>
    <font>
      <b/>
      <sz val="16"/>
      <color rgb="FF000000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11"/>
      <name val="Calibri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Microsoft JhengHei"/>
      <family val="2"/>
      <charset val="136"/>
    </font>
    <font>
      <sz val="10"/>
      <color rgb="FF000000"/>
      <name val="Noto Sans CJK SC"/>
      <family val="2"/>
      <charset val="1"/>
    </font>
    <font>
      <b/>
      <sz val="10"/>
      <color rgb="FF000000"/>
      <name val="Microsoft JhengHei"/>
      <family val="2"/>
      <charset val="136"/>
    </font>
    <font>
      <b/>
      <sz val="11"/>
      <color rgb="FF000000"/>
      <name val="Noto Sans CJK SC"/>
      <family val="2"/>
      <charset val="1"/>
    </font>
    <font>
      <b/>
      <sz val="10"/>
      <color rgb="FFFFFFFF"/>
      <name val="Noto Sans CJK SC"/>
      <family val="2"/>
    </font>
    <font>
      <sz val="10"/>
      <color rgb="FF000000"/>
      <name val="Microsoft JhengHei"/>
      <family val="2"/>
      <charset val="136"/>
    </font>
    <font>
      <b/>
      <sz val="10"/>
      <color rgb="FF1C2D42"/>
      <name val="Noto Sans CJK SC"/>
      <family val="2"/>
      <charset val="1"/>
    </font>
    <font>
      <b/>
      <sz val="10"/>
      <color rgb="FF1C2D42"/>
      <name val="Microsoft JhengHei"/>
      <family val="2"/>
      <charset val="136"/>
    </font>
    <font>
      <b/>
      <sz val="10"/>
      <color rgb="FF1C2D42"/>
      <name val="Noto Sans CJK SC"/>
      <family val="2"/>
    </font>
    <font>
      <sz val="11"/>
      <color theme="1"/>
      <name val="Noto Sans CJK SC"/>
      <family val="2"/>
    </font>
    <font>
      <sz val="9"/>
      <name val="細明體"/>
      <family val="3"/>
      <charset val="136"/>
    </font>
    <font>
      <b/>
      <sz val="10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1C2D42"/>
      <name val="微軟正黑體"/>
      <family val="2"/>
      <charset val="136"/>
    </font>
    <font>
      <b/>
      <sz val="16"/>
      <color rgb="FF00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2C4A6F"/>
        <bgColor rgb="FF1C2D42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0F4F8"/>
        <bgColor rgb="FFF8F9FA"/>
      </patternFill>
    </fill>
    <fill>
      <patternFill patternType="solid">
        <fgColor rgb="FFE6EDF5"/>
        <bgColor rgb="FFF0F4F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5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76" fontId="3" fillId="0" borderId="0" xfId="0" applyNumberFormat="1" applyFont="1"/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177" fontId="7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/>
    <xf numFmtId="177" fontId="7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7" fontId="7" fillId="5" borderId="1" xfId="0" applyNumberFormat="1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2" fontId="7" fillId="0" borderId="1" xfId="0" applyNumberFormat="1" applyFont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176" fontId="0" fillId="0" borderId="0" xfId="0" applyNumberFormat="1"/>
    <xf numFmtId="0" fontId="16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E6E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4A6F"/>
      <rgbColor rgb="FF1C2D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Normal="100" workbookViewId="0">
      <selection activeCell="S3" sqref="S3"/>
    </sheetView>
  </sheetViews>
  <sheetFormatPr defaultColWidth="8.5703125" defaultRowHeight="15.75"/>
  <cols>
    <col min="1" max="1" width="10.42578125" customWidth="1"/>
    <col min="2" max="3" width="9" customWidth="1"/>
    <col min="4" max="4" width="9.85546875" customWidth="1"/>
    <col min="5" max="5" width="9" customWidth="1"/>
    <col min="6" max="12" width="6" customWidth="1"/>
    <col min="13" max="13" width="8.5703125" customWidth="1"/>
    <col min="14" max="14" width="6" customWidth="1"/>
    <col min="15" max="23" width="8" customWidth="1"/>
  </cols>
  <sheetData>
    <row r="1" spans="1:23" ht="34.5" customHeight="1">
      <c r="A1" s="35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4" customHeight="1">
      <c r="A2" s="33" t="s">
        <v>53</v>
      </c>
      <c r="B2" s="9"/>
      <c r="C2" s="9"/>
      <c r="D2" s="9"/>
      <c r="E2" s="33" t="s">
        <v>52</v>
      </c>
      <c r="F2" s="9"/>
      <c r="G2" s="9"/>
      <c r="H2" s="9"/>
      <c r="I2" s="11" t="s">
        <v>0</v>
      </c>
      <c r="J2" s="8"/>
      <c r="K2" s="9"/>
      <c r="L2" s="9"/>
      <c r="M2" s="33" t="s">
        <v>54</v>
      </c>
      <c r="N2" s="9"/>
      <c r="O2" s="9"/>
      <c r="P2" s="9"/>
      <c r="Q2" s="11" t="s">
        <v>1</v>
      </c>
      <c r="R2" s="9"/>
      <c r="S2" s="9"/>
      <c r="T2" s="7"/>
      <c r="U2" s="11" t="s">
        <v>2</v>
      </c>
      <c r="V2" s="9"/>
      <c r="W2" s="9"/>
    </row>
    <row r="4" spans="1:23" ht="15.75" customHeight="1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23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23" ht="19.5" customHeight="1">
      <c r="A6" s="14" t="s">
        <v>16</v>
      </c>
      <c r="B6" s="15"/>
      <c r="C6" s="15"/>
      <c r="D6" s="15"/>
      <c r="E6" s="15"/>
      <c r="F6" s="15"/>
      <c r="G6" s="15"/>
      <c r="H6" s="15"/>
      <c r="I6" s="15"/>
      <c r="J6" s="15"/>
      <c r="K6" s="16"/>
      <c r="L6" s="15"/>
      <c r="M6" s="15"/>
    </row>
    <row r="7" spans="1:23" ht="19.5" customHeight="1">
      <c r="A7" s="14" t="s">
        <v>17</v>
      </c>
      <c r="B7" s="15"/>
      <c r="C7" s="15"/>
      <c r="D7" s="15"/>
      <c r="E7" s="15"/>
      <c r="F7" s="15"/>
      <c r="G7" s="15"/>
      <c r="H7" s="15"/>
      <c r="I7" s="15"/>
      <c r="J7" s="15"/>
      <c r="K7" s="16"/>
      <c r="L7" s="15"/>
      <c r="M7" s="15"/>
    </row>
    <row r="9" spans="1:23" ht="24" customHeight="1">
      <c r="A9" s="4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27.75" customHeight="1">
      <c r="A10" s="12" t="s">
        <v>19</v>
      </c>
      <c r="B10" s="12" t="s">
        <v>20</v>
      </c>
      <c r="C10" s="12" t="s">
        <v>21</v>
      </c>
      <c r="D10" s="12" t="s">
        <v>22</v>
      </c>
      <c r="E10" s="12" t="s">
        <v>23</v>
      </c>
      <c r="F10" s="13" t="s">
        <v>4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3" t="s">
        <v>11</v>
      </c>
      <c r="N10" s="13" t="s">
        <v>12</v>
      </c>
      <c r="O10" s="13" t="s">
        <v>24</v>
      </c>
      <c r="P10" s="13" t="s">
        <v>25</v>
      </c>
      <c r="Q10" s="13" t="s">
        <v>26</v>
      </c>
      <c r="R10" s="13" t="s">
        <v>27</v>
      </c>
      <c r="S10" s="13" t="s">
        <v>28</v>
      </c>
      <c r="T10" s="13" t="s">
        <v>29</v>
      </c>
      <c r="U10" s="13" t="s">
        <v>30</v>
      </c>
      <c r="V10" s="13" t="s">
        <v>31</v>
      </c>
      <c r="W10" s="13" t="s">
        <v>32</v>
      </c>
    </row>
    <row r="11" spans="1:23" ht="19.5" customHeight="1">
      <c r="A11" s="3" t="s">
        <v>4</v>
      </c>
      <c r="B11" s="17" t="s">
        <v>33</v>
      </c>
      <c r="C11" s="18"/>
      <c r="D11" s="18"/>
      <c r="E11" s="18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9">
        <f t="shared" ref="W11:W38" si="0">IFERROR(Q11/O11, 0)</f>
        <v>0</v>
      </c>
    </row>
    <row r="12" spans="1:23" ht="19.5" customHeight="1">
      <c r="A12" s="3"/>
      <c r="B12" s="17" t="s">
        <v>34</v>
      </c>
      <c r="C12" s="18"/>
      <c r="D12" s="18"/>
      <c r="E12" s="18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9">
        <f t="shared" si="0"/>
        <v>0</v>
      </c>
    </row>
    <row r="13" spans="1:23" ht="19.5" customHeight="1">
      <c r="A13" s="3"/>
      <c r="B13" s="17" t="s">
        <v>35</v>
      </c>
      <c r="C13" s="18"/>
      <c r="D13" s="18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9">
        <f t="shared" si="0"/>
        <v>0</v>
      </c>
    </row>
    <row r="14" spans="1:23" ht="19.5" customHeight="1">
      <c r="A14" s="2" t="s">
        <v>5</v>
      </c>
      <c r="B14" s="20" t="s">
        <v>33</v>
      </c>
      <c r="C14" s="21"/>
      <c r="D14" s="21"/>
      <c r="E14" s="2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2">
        <f t="shared" si="0"/>
        <v>0</v>
      </c>
    </row>
    <row r="15" spans="1:23" ht="19.5" customHeight="1">
      <c r="A15" s="2"/>
      <c r="B15" s="20" t="s">
        <v>34</v>
      </c>
      <c r="C15" s="21"/>
      <c r="D15" s="21"/>
      <c r="E15" s="21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2">
        <f t="shared" si="0"/>
        <v>0</v>
      </c>
    </row>
    <row r="16" spans="1:23" ht="19.5" customHeight="1">
      <c r="A16" s="2"/>
      <c r="B16" s="20" t="s">
        <v>35</v>
      </c>
      <c r="C16" s="21"/>
      <c r="D16" s="21"/>
      <c r="E16" s="21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2">
        <f t="shared" si="0"/>
        <v>0</v>
      </c>
    </row>
    <row r="17" spans="1:23" ht="19.5" customHeight="1">
      <c r="A17" s="3" t="s">
        <v>6</v>
      </c>
      <c r="B17" s="17" t="s">
        <v>33</v>
      </c>
      <c r="C17" s="18"/>
      <c r="D17" s="18"/>
      <c r="E17" s="1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9">
        <f t="shared" si="0"/>
        <v>0</v>
      </c>
    </row>
    <row r="18" spans="1:23" ht="19.5" customHeight="1">
      <c r="A18" s="3"/>
      <c r="B18" s="17" t="s">
        <v>34</v>
      </c>
      <c r="C18" s="18"/>
      <c r="D18" s="18"/>
      <c r="E18" s="18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9">
        <f t="shared" si="0"/>
        <v>0</v>
      </c>
    </row>
    <row r="19" spans="1:23" ht="19.5" customHeight="1">
      <c r="A19" s="3"/>
      <c r="B19" s="17" t="s">
        <v>35</v>
      </c>
      <c r="C19" s="18"/>
      <c r="D19" s="18"/>
      <c r="E19" s="1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9">
        <f t="shared" si="0"/>
        <v>0</v>
      </c>
    </row>
    <row r="20" spans="1:23" ht="19.5" customHeight="1">
      <c r="A20" s="2" t="s">
        <v>7</v>
      </c>
      <c r="B20" s="20" t="s">
        <v>33</v>
      </c>
      <c r="C20" s="21"/>
      <c r="D20" s="21"/>
      <c r="E20" s="21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2">
        <f t="shared" si="0"/>
        <v>0</v>
      </c>
    </row>
    <row r="21" spans="1:23" ht="19.5" customHeight="1">
      <c r="A21" s="2"/>
      <c r="B21" s="20" t="s">
        <v>34</v>
      </c>
      <c r="C21" s="21"/>
      <c r="D21" s="21"/>
      <c r="E21" s="21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2">
        <f t="shared" si="0"/>
        <v>0</v>
      </c>
    </row>
    <row r="22" spans="1:23" ht="19.5" customHeight="1">
      <c r="A22" s="2"/>
      <c r="B22" s="20" t="s">
        <v>35</v>
      </c>
      <c r="C22" s="21"/>
      <c r="D22" s="21"/>
      <c r="E22" s="21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2">
        <f t="shared" si="0"/>
        <v>0</v>
      </c>
    </row>
    <row r="23" spans="1:23" ht="19.5" customHeight="1">
      <c r="A23" s="3" t="s">
        <v>8</v>
      </c>
      <c r="B23" s="17" t="s">
        <v>33</v>
      </c>
      <c r="C23" s="18"/>
      <c r="D23" s="18"/>
      <c r="E23" s="1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9">
        <f t="shared" si="0"/>
        <v>0</v>
      </c>
    </row>
    <row r="24" spans="1:23" ht="19.5" customHeight="1">
      <c r="A24" s="3"/>
      <c r="B24" s="17" t="s">
        <v>34</v>
      </c>
      <c r="C24" s="18"/>
      <c r="D24" s="18"/>
      <c r="E24" s="1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9">
        <f t="shared" si="0"/>
        <v>0</v>
      </c>
    </row>
    <row r="25" spans="1:23" ht="19.5" customHeight="1">
      <c r="A25" s="3"/>
      <c r="B25" s="17" t="s">
        <v>35</v>
      </c>
      <c r="C25" s="18"/>
      <c r="D25" s="18"/>
      <c r="E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9">
        <f t="shared" si="0"/>
        <v>0</v>
      </c>
    </row>
    <row r="26" spans="1:23" ht="19.5" customHeight="1">
      <c r="A26" s="2" t="s">
        <v>9</v>
      </c>
      <c r="B26" s="20" t="s">
        <v>33</v>
      </c>
      <c r="C26" s="21"/>
      <c r="D26" s="21"/>
      <c r="E26" s="21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2">
        <f t="shared" si="0"/>
        <v>0</v>
      </c>
    </row>
    <row r="27" spans="1:23" ht="19.5" customHeight="1">
      <c r="A27" s="2"/>
      <c r="B27" s="20" t="s">
        <v>34</v>
      </c>
      <c r="C27" s="21"/>
      <c r="D27" s="21"/>
      <c r="E27" s="21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2">
        <f t="shared" si="0"/>
        <v>0</v>
      </c>
    </row>
    <row r="28" spans="1:23" ht="19.5" customHeight="1">
      <c r="A28" s="2"/>
      <c r="B28" s="20" t="s">
        <v>35</v>
      </c>
      <c r="C28" s="21"/>
      <c r="D28" s="21"/>
      <c r="E28" s="21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2">
        <f t="shared" si="0"/>
        <v>0</v>
      </c>
    </row>
    <row r="29" spans="1:23" ht="19.5" customHeight="1">
      <c r="A29" s="3" t="s">
        <v>10</v>
      </c>
      <c r="B29" s="17" t="s">
        <v>33</v>
      </c>
      <c r="C29" s="18"/>
      <c r="D29" s="18"/>
      <c r="E29" s="18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9">
        <f t="shared" si="0"/>
        <v>0</v>
      </c>
    </row>
    <row r="30" spans="1:23" ht="19.5" customHeight="1">
      <c r="A30" s="3"/>
      <c r="B30" s="17" t="s">
        <v>34</v>
      </c>
      <c r="C30" s="18"/>
      <c r="D30" s="18"/>
      <c r="E30" s="18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9">
        <f t="shared" si="0"/>
        <v>0</v>
      </c>
    </row>
    <row r="31" spans="1:23" ht="19.5" customHeight="1">
      <c r="A31" s="3"/>
      <c r="B31" s="17" t="s">
        <v>35</v>
      </c>
      <c r="C31" s="18"/>
      <c r="D31" s="18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9">
        <f t="shared" si="0"/>
        <v>0</v>
      </c>
    </row>
    <row r="32" spans="1:23" ht="19.5" customHeight="1">
      <c r="A32" s="2" t="s">
        <v>11</v>
      </c>
      <c r="B32" s="20" t="s">
        <v>33</v>
      </c>
      <c r="C32" s="21"/>
      <c r="D32" s="21"/>
      <c r="E32" s="21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2">
        <f t="shared" si="0"/>
        <v>0</v>
      </c>
    </row>
    <row r="33" spans="1:23" ht="19.5" customHeight="1">
      <c r="A33" s="2"/>
      <c r="B33" s="20" t="s">
        <v>34</v>
      </c>
      <c r="C33" s="21"/>
      <c r="D33" s="21"/>
      <c r="E33" s="21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2">
        <f t="shared" si="0"/>
        <v>0</v>
      </c>
    </row>
    <row r="34" spans="1:23" ht="19.5" customHeight="1">
      <c r="A34" s="2"/>
      <c r="B34" s="20" t="s">
        <v>35</v>
      </c>
      <c r="C34" s="21"/>
      <c r="D34" s="21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2">
        <f t="shared" si="0"/>
        <v>0</v>
      </c>
    </row>
    <row r="35" spans="1:23" ht="19.5" customHeight="1">
      <c r="A35" s="3" t="s">
        <v>12</v>
      </c>
      <c r="B35" s="17" t="s">
        <v>33</v>
      </c>
      <c r="C35" s="18"/>
      <c r="D35" s="18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9">
        <f t="shared" si="0"/>
        <v>0</v>
      </c>
    </row>
    <row r="36" spans="1:23" ht="19.5" customHeight="1">
      <c r="A36" s="3"/>
      <c r="B36" s="17" t="s">
        <v>34</v>
      </c>
      <c r="C36" s="18"/>
      <c r="D36" s="18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9">
        <f t="shared" si="0"/>
        <v>0</v>
      </c>
    </row>
    <row r="37" spans="1:23" ht="19.5" customHeight="1">
      <c r="A37" s="3"/>
      <c r="B37" s="17" t="s">
        <v>35</v>
      </c>
      <c r="C37" s="18"/>
      <c r="D37" s="18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9">
        <f t="shared" si="0"/>
        <v>0</v>
      </c>
    </row>
    <row r="38" spans="1:23" ht="21.75" customHeight="1">
      <c r="A38" s="1" t="s">
        <v>36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3">
        <f t="shared" ref="O38:V38" si="1">SUM(O11:O37)</f>
        <v>0</v>
      </c>
      <c r="P38" s="23">
        <f t="shared" si="1"/>
        <v>0</v>
      </c>
      <c r="Q38" s="23">
        <f t="shared" si="1"/>
        <v>0</v>
      </c>
      <c r="R38" s="23">
        <f t="shared" si="1"/>
        <v>0</v>
      </c>
      <c r="S38" s="23">
        <f t="shared" si="1"/>
        <v>0</v>
      </c>
      <c r="T38" s="23">
        <f t="shared" si="1"/>
        <v>0</v>
      </c>
      <c r="U38" s="23">
        <f t="shared" si="1"/>
        <v>0</v>
      </c>
      <c r="V38" s="23">
        <f t="shared" si="1"/>
        <v>0</v>
      </c>
      <c r="W38" s="24">
        <f t="shared" si="0"/>
        <v>0</v>
      </c>
    </row>
    <row r="40" spans="1:23" ht="22.5" customHeight="1">
      <c r="A40" s="4" t="s">
        <v>37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23" ht="47.25" customHeight="1">
      <c r="A41" s="25" t="s">
        <v>38</v>
      </c>
      <c r="B41" s="25" t="s">
        <v>21</v>
      </c>
      <c r="C41" s="25" t="s">
        <v>22</v>
      </c>
      <c r="D41" s="26" t="s">
        <v>39</v>
      </c>
      <c r="E41" s="26" t="s">
        <v>57</v>
      </c>
      <c r="F41" s="26" t="s">
        <v>40</v>
      </c>
      <c r="G41" s="26" t="s">
        <v>41</v>
      </c>
      <c r="H41" s="26" t="s">
        <v>42</v>
      </c>
      <c r="I41" s="26" t="s">
        <v>43</v>
      </c>
      <c r="J41" s="26" t="s">
        <v>56</v>
      </c>
      <c r="K41" s="26" t="s">
        <v>44</v>
      </c>
      <c r="L41" s="26" t="s">
        <v>45</v>
      </c>
      <c r="M41" s="26" t="s">
        <v>46</v>
      </c>
    </row>
    <row r="42" spans="1:23" ht="19.5" customHeight="1">
      <c r="A42" s="34" t="s">
        <v>55</v>
      </c>
      <c r="B42" s="28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9">
        <f>IFERROR((I42*9)/D42, 0)</f>
        <v>0</v>
      </c>
    </row>
    <row r="43" spans="1:23" ht="19.5" customHeight="1">
      <c r="A43" s="27" t="s">
        <v>47</v>
      </c>
      <c r="B43" s="28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9">
        <f>IFERROR((I43*9)/D43, 0)</f>
        <v>0</v>
      </c>
    </row>
    <row r="44" spans="1:23" ht="19.5" customHeight="1">
      <c r="A44" s="27" t="s">
        <v>48</v>
      </c>
      <c r="B44" s="28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9">
        <f>IFERROR((I44*9)/D44, 0)</f>
        <v>0</v>
      </c>
    </row>
    <row r="45" spans="1:23" ht="19.5" customHeight="1">
      <c r="A45" s="27" t="s">
        <v>49</v>
      </c>
      <c r="B45" s="28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9">
        <f>IFERROR((I45*9)/D45, 0)</f>
        <v>0</v>
      </c>
    </row>
    <row r="46" spans="1:23" ht="21.75" customHeight="1">
      <c r="A46" s="1" t="s">
        <v>50</v>
      </c>
      <c r="B46" s="1"/>
      <c r="C46" s="1"/>
      <c r="D46" s="23">
        <f t="shared" ref="D46:L46" si="2">SUM(D42:D45)</f>
        <v>0</v>
      </c>
      <c r="E46" s="23">
        <f t="shared" si="2"/>
        <v>0</v>
      </c>
      <c r="F46" s="23">
        <f t="shared" si="2"/>
        <v>0</v>
      </c>
      <c r="G46" s="23">
        <f t="shared" si="2"/>
        <v>0</v>
      </c>
      <c r="H46" s="23">
        <f t="shared" si="2"/>
        <v>0</v>
      </c>
      <c r="I46" s="23">
        <f t="shared" si="2"/>
        <v>0</v>
      </c>
      <c r="J46" s="23">
        <f t="shared" si="2"/>
        <v>0</v>
      </c>
      <c r="K46" s="23">
        <f t="shared" si="2"/>
        <v>0</v>
      </c>
      <c r="L46" s="23">
        <f t="shared" si="2"/>
        <v>0</v>
      </c>
      <c r="M46" s="30">
        <f>IFERROR((I46*9)/D46, 0)</f>
        <v>0</v>
      </c>
    </row>
  </sheetData>
  <mergeCells count="33">
    <mergeCell ref="A46:C46"/>
    <mergeCell ref="A29:A31"/>
    <mergeCell ref="A32:A34"/>
    <mergeCell ref="A35:A37"/>
    <mergeCell ref="A38:N38"/>
    <mergeCell ref="A40:L40"/>
    <mergeCell ref="A14:A16"/>
    <mergeCell ref="A17:A19"/>
    <mergeCell ref="A20:A22"/>
    <mergeCell ref="A23:A25"/>
    <mergeCell ref="A26:A28"/>
    <mergeCell ref="K4:K5"/>
    <mergeCell ref="L4:L5"/>
    <mergeCell ref="M4:M5"/>
    <mergeCell ref="A9:W9"/>
    <mergeCell ref="A11:A13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  <mergeCell ref="A1:W1"/>
    <mergeCell ref="B2:D2"/>
    <mergeCell ref="F2:H2"/>
    <mergeCell ref="J2:L2"/>
    <mergeCell ref="N2:P2"/>
    <mergeCell ref="R2:T2"/>
    <mergeCell ref="V2:W2"/>
  </mergeCells>
  <phoneticPr fontId="15" type="noConversion"/>
  <pageMargins left="0.75" right="0.75" top="1" bottom="1" header="0.511811023622047" footer="0.511811023622047"/>
  <pageSetup paperSize="9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日期錯誤" error="請從下拉清單中選擇日期" promptTitle="比賽日期" prompt="請點選右側箭頭，從清單中選擇比賽日期（2026/8/1 - 2027/7/31 學年度）" xr:uid="{00000000-0002-0000-0000-000000000000}">
          <x14:formula1>
            <xm:f>日期清單!$A$2:$A$366</xm:f>
          </x14:formula1>
          <x14:formula2>
            <xm:f>0</xm:f>
          </x14:formula2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6"/>
  <sheetViews>
    <sheetView zoomScaleNormal="100" workbookViewId="0"/>
  </sheetViews>
  <sheetFormatPr defaultColWidth="8.5703125" defaultRowHeight="15.75"/>
  <sheetData>
    <row r="1" spans="1:1">
      <c r="A1" s="31" t="s">
        <v>51</v>
      </c>
    </row>
    <row r="2" spans="1:1">
      <c r="A2" s="32">
        <v>46235</v>
      </c>
    </row>
    <row r="3" spans="1:1">
      <c r="A3" s="32">
        <v>46236</v>
      </c>
    </row>
    <row r="4" spans="1:1">
      <c r="A4" s="32">
        <v>46237</v>
      </c>
    </row>
    <row r="5" spans="1:1">
      <c r="A5" s="32">
        <v>46238</v>
      </c>
    </row>
    <row r="6" spans="1:1">
      <c r="A6" s="32">
        <v>46239</v>
      </c>
    </row>
    <row r="7" spans="1:1">
      <c r="A7" s="32">
        <v>46240</v>
      </c>
    </row>
    <row r="8" spans="1:1">
      <c r="A8" s="32">
        <v>46241</v>
      </c>
    </row>
    <row r="9" spans="1:1">
      <c r="A9" s="32">
        <v>46242</v>
      </c>
    </row>
    <row r="10" spans="1:1">
      <c r="A10" s="32">
        <v>46243</v>
      </c>
    </row>
    <row r="11" spans="1:1">
      <c r="A11" s="32">
        <v>46244</v>
      </c>
    </row>
    <row r="12" spans="1:1">
      <c r="A12" s="32">
        <v>46245</v>
      </c>
    </row>
    <row r="13" spans="1:1">
      <c r="A13" s="32">
        <v>46246</v>
      </c>
    </row>
    <row r="14" spans="1:1">
      <c r="A14" s="32">
        <v>46247</v>
      </c>
    </row>
    <row r="15" spans="1:1">
      <c r="A15" s="32">
        <v>46248</v>
      </c>
    </row>
    <row r="16" spans="1:1">
      <c r="A16" s="32">
        <v>46249</v>
      </c>
    </row>
    <row r="17" spans="1:1">
      <c r="A17" s="32">
        <v>46250</v>
      </c>
    </row>
    <row r="18" spans="1:1">
      <c r="A18" s="32">
        <v>46251</v>
      </c>
    </row>
    <row r="19" spans="1:1">
      <c r="A19" s="32">
        <v>46252</v>
      </c>
    </row>
    <row r="20" spans="1:1">
      <c r="A20" s="32">
        <v>46253</v>
      </c>
    </row>
    <row r="21" spans="1:1">
      <c r="A21" s="32">
        <v>46254</v>
      </c>
    </row>
    <row r="22" spans="1:1">
      <c r="A22" s="32">
        <v>46255</v>
      </c>
    </row>
    <row r="23" spans="1:1">
      <c r="A23" s="32">
        <v>46256</v>
      </c>
    </row>
    <row r="24" spans="1:1">
      <c r="A24" s="32">
        <v>46257</v>
      </c>
    </row>
    <row r="25" spans="1:1">
      <c r="A25" s="32">
        <v>46258</v>
      </c>
    </row>
    <row r="26" spans="1:1">
      <c r="A26" s="32">
        <v>46259</v>
      </c>
    </row>
    <row r="27" spans="1:1">
      <c r="A27" s="32">
        <v>46260</v>
      </c>
    </row>
    <row r="28" spans="1:1">
      <c r="A28" s="32">
        <v>46261</v>
      </c>
    </row>
    <row r="29" spans="1:1">
      <c r="A29" s="32">
        <v>46262</v>
      </c>
    </row>
    <row r="30" spans="1:1">
      <c r="A30" s="32">
        <v>46263</v>
      </c>
    </row>
    <row r="31" spans="1:1">
      <c r="A31" s="32">
        <v>46264</v>
      </c>
    </row>
    <row r="32" spans="1:1">
      <c r="A32" s="32">
        <v>46265</v>
      </c>
    </row>
    <row r="33" spans="1:1">
      <c r="A33" s="32">
        <v>46266</v>
      </c>
    </row>
    <row r="34" spans="1:1">
      <c r="A34" s="32">
        <v>46267</v>
      </c>
    </row>
    <row r="35" spans="1:1">
      <c r="A35" s="32">
        <v>46268</v>
      </c>
    </row>
    <row r="36" spans="1:1">
      <c r="A36" s="32">
        <v>46269</v>
      </c>
    </row>
    <row r="37" spans="1:1">
      <c r="A37" s="32">
        <v>46270</v>
      </c>
    </row>
    <row r="38" spans="1:1">
      <c r="A38" s="32">
        <v>46271</v>
      </c>
    </row>
    <row r="39" spans="1:1">
      <c r="A39" s="32">
        <v>46272</v>
      </c>
    </row>
    <row r="40" spans="1:1">
      <c r="A40" s="32">
        <v>46273</v>
      </c>
    </row>
    <row r="41" spans="1:1">
      <c r="A41" s="32">
        <v>46274</v>
      </c>
    </row>
    <row r="42" spans="1:1">
      <c r="A42" s="32">
        <v>46275</v>
      </c>
    </row>
    <row r="43" spans="1:1">
      <c r="A43" s="32">
        <v>46276</v>
      </c>
    </row>
    <row r="44" spans="1:1">
      <c r="A44" s="32">
        <v>46277</v>
      </c>
    </row>
    <row r="45" spans="1:1">
      <c r="A45" s="32">
        <v>46278</v>
      </c>
    </row>
    <row r="46" spans="1:1">
      <c r="A46" s="32">
        <v>46279</v>
      </c>
    </row>
    <row r="47" spans="1:1">
      <c r="A47" s="32">
        <v>46280</v>
      </c>
    </row>
    <row r="48" spans="1:1">
      <c r="A48" s="32">
        <v>46281</v>
      </c>
    </row>
    <row r="49" spans="1:1">
      <c r="A49" s="32">
        <v>46282</v>
      </c>
    </row>
    <row r="50" spans="1:1">
      <c r="A50" s="32">
        <v>46283</v>
      </c>
    </row>
    <row r="51" spans="1:1">
      <c r="A51" s="32">
        <v>46284</v>
      </c>
    </row>
    <row r="52" spans="1:1">
      <c r="A52" s="32">
        <v>46285</v>
      </c>
    </row>
    <row r="53" spans="1:1">
      <c r="A53" s="32">
        <v>46286</v>
      </c>
    </row>
    <row r="54" spans="1:1">
      <c r="A54" s="32">
        <v>46287</v>
      </c>
    </row>
    <row r="55" spans="1:1">
      <c r="A55" s="32">
        <v>46288</v>
      </c>
    </row>
    <row r="56" spans="1:1">
      <c r="A56" s="32">
        <v>46289</v>
      </c>
    </row>
    <row r="57" spans="1:1">
      <c r="A57" s="32">
        <v>46290</v>
      </c>
    </row>
    <row r="58" spans="1:1">
      <c r="A58" s="32">
        <v>46291</v>
      </c>
    </row>
    <row r="59" spans="1:1">
      <c r="A59" s="32">
        <v>46292</v>
      </c>
    </row>
    <row r="60" spans="1:1">
      <c r="A60" s="32">
        <v>46293</v>
      </c>
    </row>
    <row r="61" spans="1:1">
      <c r="A61" s="32">
        <v>46294</v>
      </c>
    </row>
    <row r="62" spans="1:1">
      <c r="A62" s="32">
        <v>46295</v>
      </c>
    </row>
    <row r="63" spans="1:1">
      <c r="A63" s="32">
        <v>46296</v>
      </c>
    </row>
    <row r="64" spans="1:1">
      <c r="A64" s="32">
        <v>46297</v>
      </c>
    </row>
    <row r="65" spans="1:1">
      <c r="A65" s="32">
        <v>46298</v>
      </c>
    </row>
    <row r="66" spans="1:1">
      <c r="A66" s="32">
        <v>46299</v>
      </c>
    </row>
    <row r="67" spans="1:1">
      <c r="A67" s="32">
        <v>46300</v>
      </c>
    </row>
    <row r="68" spans="1:1">
      <c r="A68" s="32">
        <v>46301</v>
      </c>
    </row>
    <row r="69" spans="1:1">
      <c r="A69" s="32">
        <v>46302</v>
      </c>
    </row>
    <row r="70" spans="1:1">
      <c r="A70" s="32">
        <v>46303</v>
      </c>
    </row>
    <row r="71" spans="1:1">
      <c r="A71" s="32">
        <v>46304</v>
      </c>
    </row>
    <row r="72" spans="1:1">
      <c r="A72" s="32">
        <v>46305</v>
      </c>
    </row>
    <row r="73" spans="1:1">
      <c r="A73" s="32">
        <v>46306</v>
      </c>
    </row>
    <row r="74" spans="1:1">
      <c r="A74" s="32">
        <v>46307</v>
      </c>
    </row>
    <row r="75" spans="1:1">
      <c r="A75" s="32">
        <v>46308</v>
      </c>
    </row>
    <row r="76" spans="1:1">
      <c r="A76" s="32">
        <v>46309</v>
      </c>
    </row>
    <row r="77" spans="1:1">
      <c r="A77" s="32">
        <v>46310</v>
      </c>
    </row>
    <row r="78" spans="1:1">
      <c r="A78" s="32">
        <v>46311</v>
      </c>
    </row>
    <row r="79" spans="1:1">
      <c r="A79" s="32">
        <v>46312</v>
      </c>
    </row>
    <row r="80" spans="1:1">
      <c r="A80" s="32">
        <v>46313</v>
      </c>
    </row>
    <row r="81" spans="1:1">
      <c r="A81" s="32">
        <v>46314</v>
      </c>
    </row>
    <row r="82" spans="1:1">
      <c r="A82" s="32">
        <v>46315</v>
      </c>
    </row>
    <row r="83" spans="1:1">
      <c r="A83" s="32">
        <v>46316</v>
      </c>
    </row>
    <row r="84" spans="1:1">
      <c r="A84" s="32">
        <v>46317</v>
      </c>
    </row>
    <row r="85" spans="1:1">
      <c r="A85" s="32">
        <v>46318</v>
      </c>
    </row>
    <row r="86" spans="1:1">
      <c r="A86" s="32">
        <v>46319</v>
      </c>
    </row>
    <row r="87" spans="1:1">
      <c r="A87" s="32">
        <v>46320</v>
      </c>
    </row>
    <row r="88" spans="1:1">
      <c r="A88" s="32">
        <v>46321</v>
      </c>
    </row>
    <row r="89" spans="1:1">
      <c r="A89" s="32">
        <v>46322</v>
      </c>
    </row>
    <row r="90" spans="1:1">
      <c r="A90" s="32">
        <v>46323</v>
      </c>
    </row>
    <row r="91" spans="1:1">
      <c r="A91" s="32">
        <v>46324</v>
      </c>
    </row>
    <row r="92" spans="1:1">
      <c r="A92" s="32">
        <v>46325</v>
      </c>
    </row>
    <row r="93" spans="1:1">
      <c r="A93" s="32">
        <v>46326</v>
      </c>
    </row>
    <row r="94" spans="1:1">
      <c r="A94" s="32">
        <v>46327</v>
      </c>
    </row>
    <row r="95" spans="1:1">
      <c r="A95" s="32">
        <v>46328</v>
      </c>
    </row>
    <row r="96" spans="1:1">
      <c r="A96" s="32">
        <v>46329</v>
      </c>
    </row>
    <row r="97" spans="1:1">
      <c r="A97" s="32">
        <v>46330</v>
      </c>
    </row>
    <row r="98" spans="1:1">
      <c r="A98" s="32">
        <v>46331</v>
      </c>
    </row>
    <row r="99" spans="1:1">
      <c r="A99" s="32">
        <v>46332</v>
      </c>
    </row>
    <row r="100" spans="1:1">
      <c r="A100" s="32">
        <v>46333</v>
      </c>
    </row>
    <row r="101" spans="1:1">
      <c r="A101" s="32">
        <v>46334</v>
      </c>
    </row>
    <row r="102" spans="1:1">
      <c r="A102" s="32">
        <v>46335</v>
      </c>
    </row>
    <row r="103" spans="1:1">
      <c r="A103" s="32">
        <v>46336</v>
      </c>
    </row>
    <row r="104" spans="1:1">
      <c r="A104" s="32">
        <v>46337</v>
      </c>
    </row>
    <row r="105" spans="1:1">
      <c r="A105" s="32">
        <v>46338</v>
      </c>
    </row>
    <row r="106" spans="1:1">
      <c r="A106" s="32">
        <v>46339</v>
      </c>
    </row>
    <row r="107" spans="1:1">
      <c r="A107" s="32">
        <v>46340</v>
      </c>
    </row>
    <row r="108" spans="1:1">
      <c r="A108" s="32">
        <v>46341</v>
      </c>
    </row>
    <row r="109" spans="1:1">
      <c r="A109" s="32">
        <v>46342</v>
      </c>
    </row>
    <row r="110" spans="1:1">
      <c r="A110" s="32">
        <v>46343</v>
      </c>
    </row>
    <row r="111" spans="1:1">
      <c r="A111" s="32">
        <v>46344</v>
      </c>
    </row>
    <row r="112" spans="1:1">
      <c r="A112" s="32">
        <v>46345</v>
      </c>
    </row>
    <row r="113" spans="1:1">
      <c r="A113" s="32">
        <v>46346</v>
      </c>
    </row>
    <row r="114" spans="1:1">
      <c r="A114" s="32">
        <v>46347</v>
      </c>
    </row>
    <row r="115" spans="1:1">
      <c r="A115" s="32">
        <v>46348</v>
      </c>
    </row>
    <row r="116" spans="1:1">
      <c r="A116" s="32">
        <v>46349</v>
      </c>
    </row>
    <row r="117" spans="1:1">
      <c r="A117" s="32">
        <v>46350</v>
      </c>
    </row>
    <row r="118" spans="1:1">
      <c r="A118" s="32">
        <v>46351</v>
      </c>
    </row>
    <row r="119" spans="1:1">
      <c r="A119" s="32">
        <v>46352</v>
      </c>
    </row>
    <row r="120" spans="1:1">
      <c r="A120" s="32">
        <v>46353</v>
      </c>
    </row>
    <row r="121" spans="1:1">
      <c r="A121" s="32">
        <v>46354</v>
      </c>
    </row>
    <row r="122" spans="1:1">
      <c r="A122" s="32">
        <v>46355</v>
      </c>
    </row>
    <row r="123" spans="1:1">
      <c r="A123" s="32">
        <v>46356</v>
      </c>
    </row>
    <row r="124" spans="1:1">
      <c r="A124" s="32">
        <v>46357</v>
      </c>
    </row>
    <row r="125" spans="1:1">
      <c r="A125" s="32">
        <v>46358</v>
      </c>
    </row>
    <row r="126" spans="1:1">
      <c r="A126" s="32">
        <v>46359</v>
      </c>
    </row>
    <row r="127" spans="1:1">
      <c r="A127" s="32">
        <v>46360</v>
      </c>
    </row>
    <row r="128" spans="1:1">
      <c r="A128" s="32">
        <v>46361</v>
      </c>
    </row>
    <row r="129" spans="1:1">
      <c r="A129" s="32">
        <v>46362</v>
      </c>
    </row>
    <row r="130" spans="1:1">
      <c r="A130" s="32">
        <v>46363</v>
      </c>
    </row>
    <row r="131" spans="1:1">
      <c r="A131" s="32">
        <v>46364</v>
      </c>
    </row>
    <row r="132" spans="1:1">
      <c r="A132" s="32">
        <v>46365</v>
      </c>
    </row>
    <row r="133" spans="1:1">
      <c r="A133" s="32">
        <v>46366</v>
      </c>
    </row>
    <row r="134" spans="1:1">
      <c r="A134" s="32">
        <v>46367</v>
      </c>
    </row>
    <row r="135" spans="1:1">
      <c r="A135" s="32">
        <v>46368</v>
      </c>
    </row>
    <row r="136" spans="1:1">
      <c r="A136" s="32">
        <v>46369</v>
      </c>
    </row>
    <row r="137" spans="1:1">
      <c r="A137" s="32">
        <v>46370</v>
      </c>
    </row>
    <row r="138" spans="1:1">
      <c r="A138" s="32">
        <v>46371</v>
      </c>
    </row>
    <row r="139" spans="1:1">
      <c r="A139" s="32">
        <v>46372</v>
      </c>
    </row>
    <row r="140" spans="1:1">
      <c r="A140" s="32">
        <v>46373</v>
      </c>
    </row>
    <row r="141" spans="1:1">
      <c r="A141" s="32">
        <v>46374</v>
      </c>
    </row>
    <row r="142" spans="1:1">
      <c r="A142" s="32">
        <v>46375</v>
      </c>
    </row>
    <row r="143" spans="1:1">
      <c r="A143" s="32">
        <v>46376</v>
      </c>
    </row>
    <row r="144" spans="1:1">
      <c r="A144" s="32">
        <v>46377</v>
      </c>
    </row>
    <row r="145" spans="1:1">
      <c r="A145" s="32">
        <v>46378</v>
      </c>
    </row>
    <row r="146" spans="1:1">
      <c r="A146" s="32">
        <v>46379</v>
      </c>
    </row>
    <row r="147" spans="1:1">
      <c r="A147" s="32">
        <v>46380</v>
      </c>
    </row>
    <row r="148" spans="1:1">
      <c r="A148" s="32">
        <v>46381</v>
      </c>
    </row>
    <row r="149" spans="1:1">
      <c r="A149" s="32">
        <v>46382</v>
      </c>
    </row>
    <row r="150" spans="1:1">
      <c r="A150" s="32">
        <v>46383</v>
      </c>
    </row>
    <row r="151" spans="1:1">
      <c r="A151" s="32">
        <v>46384</v>
      </c>
    </row>
    <row r="152" spans="1:1">
      <c r="A152" s="32">
        <v>46385</v>
      </c>
    </row>
    <row r="153" spans="1:1">
      <c r="A153" s="32">
        <v>46386</v>
      </c>
    </row>
    <row r="154" spans="1:1">
      <c r="A154" s="32">
        <v>46387</v>
      </c>
    </row>
    <row r="155" spans="1:1">
      <c r="A155" s="32">
        <v>46388</v>
      </c>
    </row>
    <row r="156" spans="1:1">
      <c r="A156" s="32">
        <v>46389</v>
      </c>
    </row>
    <row r="157" spans="1:1">
      <c r="A157" s="32">
        <v>46390</v>
      </c>
    </row>
    <row r="158" spans="1:1">
      <c r="A158" s="32">
        <v>46391</v>
      </c>
    </row>
    <row r="159" spans="1:1">
      <c r="A159" s="32">
        <v>46392</v>
      </c>
    </row>
    <row r="160" spans="1:1">
      <c r="A160" s="32">
        <v>46393</v>
      </c>
    </row>
    <row r="161" spans="1:1">
      <c r="A161" s="32">
        <v>46394</v>
      </c>
    </row>
    <row r="162" spans="1:1">
      <c r="A162" s="32">
        <v>46395</v>
      </c>
    </row>
    <row r="163" spans="1:1">
      <c r="A163" s="32">
        <v>46396</v>
      </c>
    </row>
    <row r="164" spans="1:1">
      <c r="A164" s="32">
        <v>46397</v>
      </c>
    </row>
    <row r="165" spans="1:1">
      <c r="A165" s="32">
        <v>46398</v>
      </c>
    </row>
    <row r="166" spans="1:1">
      <c r="A166" s="32">
        <v>46399</v>
      </c>
    </row>
    <row r="167" spans="1:1">
      <c r="A167" s="32">
        <v>46400</v>
      </c>
    </row>
    <row r="168" spans="1:1">
      <c r="A168" s="32">
        <v>46401</v>
      </c>
    </row>
    <row r="169" spans="1:1">
      <c r="A169" s="32">
        <v>46402</v>
      </c>
    </row>
    <row r="170" spans="1:1">
      <c r="A170" s="32">
        <v>46403</v>
      </c>
    </row>
    <row r="171" spans="1:1">
      <c r="A171" s="32">
        <v>46404</v>
      </c>
    </row>
    <row r="172" spans="1:1">
      <c r="A172" s="32">
        <v>46405</v>
      </c>
    </row>
    <row r="173" spans="1:1">
      <c r="A173" s="32">
        <v>46406</v>
      </c>
    </row>
    <row r="174" spans="1:1">
      <c r="A174" s="32">
        <v>46407</v>
      </c>
    </row>
    <row r="175" spans="1:1">
      <c r="A175" s="32">
        <v>46408</v>
      </c>
    </row>
    <row r="176" spans="1:1">
      <c r="A176" s="32">
        <v>46409</v>
      </c>
    </row>
    <row r="177" spans="1:1">
      <c r="A177" s="32">
        <v>46410</v>
      </c>
    </row>
    <row r="178" spans="1:1">
      <c r="A178" s="32">
        <v>46411</v>
      </c>
    </row>
    <row r="179" spans="1:1">
      <c r="A179" s="32">
        <v>46412</v>
      </c>
    </row>
    <row r="180" spans="1:1">
      <c r="A180" s="32">
        <v>46413</v>
      </c>
    </row>
    <row r="181" spans="1:1">
      <c r="A181" s="32">
        <v>46414</v>
      </c>
    </row>
    <row r="182" spans="1:1">
      <c r="A182" s="32">
        <v>46415</v>
      </c>
    </row>
    <row r="183" spans="1:1">
      <c r="A183" s="32">
        <v>46416</v>
      </c>
    </row>
    <row r="184" spans="1:1">
      <c r="A184" s="32">
        <v>46417</v>
      </c>
    </row>
    <row r="185" spans="1:1">
      <c r="A185" s="32">
        <v>46418</v>
      </c>
    </row>
    <row r="186" spans="1:1">
      <c r="A186" s="32">
        <v>46419</v>
      </c>
    </row>
    <row r="187" spans="1:1">
      <c r="A187" s="32">
        <v>46420</v>
      </c>
    </row>
    <row r="188" spans="1:1">
      <c r="A188" s="32">
        <v>46421</v>
      </c>
    </row>
    <row r="189" spans="1:1">
      <c r="A189" s="32">
        <v>46422</v>
      </c>
    </row>
    <row r="190" spans="1:1">
      <c r="A190" s="32">
        <v>46423</v>
      </c>
    </row>
    <row r="191" spans="1:1">
      <c r="A191" s="32">
        <v>46424</v>
      </c>
    </row>
    <row r="192" spans="1:1">
      <c r="A192" s="32">
        <v>46425</v>
      </c>
    </row>
    <row r="193" spans="1:1">
      <c r="A193" s="32">
        <v>46426</v>
      </c>
    </row>
    <row r="194" spans="1:1">
      <c r="A194" s="32">
        <v>46427</v>
      </c>
    </row>
    <row r="195" spans="1:1">
      <c r="A195" s="32">
        <v>46428</v>
      </c>
    </row>
    <row r="196" spans="1:1">
      <c r="A196" s="32">
        <v>46429</v>
      </c>
    </row>
    <row r="197" spans="1:1">
      <c r="A197" s="32">
        <v>46430</v>
      </c>
    </row>
    <row r="198" spans="1:1">
      <c r="A198" s="32">
        <v>46431</v>
      </c>
    </row>
    <row r="199" spans="1:1">
      <c r="A199" s="32">
        <v>46432</v>
      </c>
    </row>
    <row r="200" spans="1:1">
      <c r="A200" s="32">
        <v>46433</v>
      </c>
    </row>
    <row r="201" spans="1:1">
      <c r="A201" s="32">
        <v>46434</v>
      </c>
    </row>
    <row r="202" spans="1:1">
      <c r="A202" s="32">
        <v>46435</v>
      </c>
    </row>
    <row r="203" spans="1:1">
      <c r="A203" s="32">
        <v>46436</v>
      </c>
    </row>
    <row r="204" spans="1:1">
      <c r="A204" s="32">
        <v>46437</v>
      </c>
    </row>
    <row r="205" spans="1:1">
      <c r="A205" s="32">
        <v>46438</v>
      </c>
    </row>
    <row r="206" spans="1:1">
      <c r="A206" s="32">
        <v>46439</v>
      </c>
    </row>
    <row r="207" spans="1:1">
      <c r="A207" s="32">
        <v>46440</v>
      </c>
    </row>
    <row r="208" spans="1:1">
      <c r="A208" s="32">
        <v>46441</v>
      </c>
    </row>
    <row r="209" spans="1:1">
      <c r="A209" s="32">
        <v>46442</v>
      </c>
    </row>
    <row r="210" spans="1:1">
      <c r="A210" s="32">
        <v>46443</v>
      </c>
    </row>
    <row r="211" spans="1:1">
      <c r="A211" s="32">
        <v>46444</v>
      </c>
    </row>
    <row r="212" spans="1:1">
      <c r="A212" s="32">
        <v>46445</v>
      </c>
    </row>
    <row r="213" spans="1:1">
      <c r="A213" s="32">
        <v>46446</v>
      </c>
    </row>
    <row r="214" spans="1:1">
      <c r="A214" s="32">
        <v>46447</v>
      </c>
    </row>
    <row r="215" spans="1:1">
      <c r="A215" s="32">
        <v>46448</v>
      </c>
    </row>
    <row r="216" spans="1:1">
      <c r="A216" s="32">
        <v>46449</v>
      </c>
    </row>
    <row r="217" spans="1:1">
      <c r="A217" s="32">
        <v>46450</v>
      </c>
    </row>
    <row r="218" spans="1:1">
      <c r="A218" s="32">
        <v>46451</v>
      </c>
    </row>
    <row r="219" spans="1:1">
      <c r="A219" s="32">
        <v>46452</v>
      </c>
    </row>
    <row r="220" spans="1:1">
      <c r="A220" s="32">
        <v>46453</v>
      </c>
    </row>
    <row r="221" spans="1:1">
      <c r="A221" s="32">
        <v>46454</v>
      </c>
    </row>
    <row r="222" spans="1:1">
      <c r="A222" s="32">
        <v>46455</v>
      </c>
    </row>
    <row r="223" spans="1:1">
      <c r="A223" s="32">
        <v>46456</v>
      </c>
    </row>
    <row r="224" spans="1:1">
      <c r="A224" s="32">
        <v>46457</v>
      </c>
    </row>
    <row r="225" spans="1:1">
      <c r="A225" s="32">
        <v>46458</v>
      </c>
    </row>
    <row r="226" spans="1:1">
      <c r="A226" s="32">
        <v>46459</v>
      </c>
    </row>
    <row r="227" spans="1:1">
      <c r="A227" s="32">
        <v>46460</v>
      </c>
    </row>
    <row r="228" spans="1:1">
      <c r="A228" s="32">
        <v>46461</v>
      </c>
    </row>
    <row r="229" spans="1:1">
      <c r="A229" s="32">
        <v>46462</v>
      </c>
    </row>
    <row r="230" spans="1:1">
      <c r="A230" s="32">
        <v>46463</v>
      </c>
    </row>
    <row r="231" spans="1:1">
      <c r="A231" s="32">
        <v>46464</v>
      </c>
    </row>
    <row r="232" spans="1:1">
      <c r="A232" s="32">
        <v>46465</v>
      </c>
    </row>
    <row r="233" spans="1:1">
      <c r="A233" s="32">
        <v>46466</v>
      </c>
    </row>
    <row r="234" spans="1:1">
      <c r="A234" s="32">
        <v>46467</v>
      </c>
    </row>
    <row r="235" spans="1:1">
      <c r="A235" s="32">
        <v>46468</v>
      </c>
    </row>
    <row r="236" spans="1:1">
      <c r="A236" s="32">
        <v>46469</v>
      </c>
    </row>
    <row r="237" spans="1:1">
      <c r="A237" s="32">
        <v>46470</v>
      </c>
    </row>
    <row r="238" spans="1:1">
      <c r="A238" s="32">
        <v>46471</v>
      </c>
    </row>
    <row r="239" spans="1:1">
      <c r="A239" s="32">
        <v>46472</v>
      </c>
    </row>
    <row r="240" spans="1:1">
      <c r="A240" s="32">
        <v>46473</v>
      </c>
    </row>
    <row r="241" spans="1:1">
      <c r="A241" s="32">
        <v>46474</v>
      </c>
    </row>
    <row r="242" spans="1:1">
      <c r="A242" s="32">
        <v>46475</v>
      </c>
    </row>
    <row r="243" spans="1:1">
      <c r="A243" s="32">
        <v>46476</v>
      </c>
    </row>
    <row r="244" spans="1:1">
      <c r="A244" s="32">
        <v>46477</v>
      </c>
    </row>
    <row r="245" spans="1:1">
      <c r="A245" s="32">
        <v>46478</v>
      </c>
    </row>
    <row r="246" spans="1:1">
      <c r="A246" s="32">
        <v>46479</v>
      </c>
    </row>
    <row r="247" spans="1:1">
      <c r="A247" s="32">
        <v>46480</v>
      </c>
    </row>
    <row r="248" spans="1:1">
      <c r="A248" s="32">
        <v>46481</v>
      </c>
    </row>
    <row r="249" spans="1:1">
      <c r="A249" s="32">
        <v>46482</v>
      </c>
    </row>
    <row r="250" spans="1:1">
      <c r="A250" s="32">
        <v>46483</v>
      </c>
    </row>
    <row r="251" spans="1:1">
      <c r="A251" s="32">
        <v>46484</v>
      </c>
    </row>
    <row r="252" spans="1:1">
      <c r="A252" s="32">
        <v>46485</v>
      </c>
    </row>
    <row r="253" spans="1:1">
      <c r="A253" s="32">
        <v>46486</v>
      </c>
    </row>
    <row r="254" spans="1:1">
      <c r="A254" s="32">
        <v>46487</v>
      </c>
    </row>
    <row r="255" spans="1:1">
      <c r="A255" s="32">
        <v>46488</v>
      </c>
    </row>
    <row r="256" spans="1:1">
      <c r="A256" s="32">
        <v>46489</v>
      </c>
    </row>
    <row r="257" spans="1:1">
      <c r="A257" s="32">
        <v>46490</v>
      </c>
    </row>
    <row r="258" spans="1:1">
      <c r="A258" s="32">
        <v>46491</v>
      </c>
    </row>
    <row r="259" spans="1:1">
      <c r="A259" s="32">
        <v>46492</v>
      </c>
    </row>
    <row r="260" spans="1:1">
      <c r="A260" s="32">
        <v>46493</v>
      </c>
    </row>
    <row r="261" spans="1:1">
      <c r="A261" s="32">
        <v>46494</v>
      </c>
    </row>
    <row r="262" spans="1:1">
      <c r="A262" s="32">
        <v>46495</v>
      </c>
    </row>
    <row r="263" spans="1:1">
      <c r="A263" s="32">
        <v>46496</v>
      </c>
    </row>
    <row r="264" spans="1:1">
      <c r="A264" s="32">
        <v>46497</v>
      </c>
    </row>
    <row r="265" spans="1:1">
      <c r="A265" s="32">
        <v>46498</v>
      </c>
    </row>
    <row r="266" spans="1:1">
      <c r="A266" s="32">
        <v>46499</v>
      </c>
    </row>
    <row r="267" spans="1:1">
      <c r="A267" s="32">
        <v>46500</v>
      </c>
    </row>
    <row r="268" spans="1:1">
      <c r="A268" s="32">
        <v>46501</v>
      </c>
    </row>
    <row r="269" spans="1:1">
      <c r="A269" s="32">
        <v>46502</v>
      </c>
    </row>
    <row r="270" spans="1:1">
      <c r="A270" s="32">
        <v>46503</v>
      </c>
    </row>
    <row r="271" spans="1:1">
      <c r="A271" s="32">
        <v>46504</v>
      </c>
    </row>
    <row r="272" spans="1:1">
      <c r="A272" s="32">
        <v>46505</v>
      </c>
    </row>
    <row r="273" spans="1:1">
      <c r="A273" s="32">
        <v>46506</v>
      </c>
    </row>
    <row r="274" spans="1:1">
      <c r="A274" s="32">
        <v>46507</v>
      </c>
    </row>
    <row r="275" spans="1:1">
      <c r="A275" s="32">
        <v>46508</v>
      </c>
    </row>
    <row r="276" spans="1:1">
      <c r="A276" s="32">
        <v>46509</v>
      </c>
    </row>
    <row r="277" spans="1:1">
      <c r="A277" s="32">
        <v>46510</v>
      </c>
    </row>
    <row r="278" spans="1:1">
      <c r="A278" s="32">
        <v>46511</v>
      </c>
    </row>
    <row r="279" spans="1:1">
      <c r="A279" s="32">
        <v>46512</v>
      </c>
    </row>
    <row r="280" spans="1:1">
      <c r="A280" s="32">
        <v>46513</v>
      </c>
    </row>
    <row r="281" spans="1:1">
      <c r="A281" s="32">
        <v>46514</v>
      </c>
    </row>
    <row r="282" spans="1:1">
      <c r="A282" s="32">
        <v>46515</v>
      </c>
    </row>
    <row r="283" spans="1:1">
      <c r="A283" s="32">
        <v>46516</v>
      </c>
    </row>
    <row r="284" spans="1:1">
      <c r="A284" s="32">
        <v>46517</v>
      </c>
    </row>
    <row r="285" spans="1:1">
      <c r="A285" s="32">
        <v>46518</v>
      </c>
    </row>
    <row r="286" spans="1:1">
      <c r="A286" s="32">
        <v>46519</v>
      </c>
    </row>
    <row r="287" spans="1:1">
      <c r="A287" s="32">
        <v>46520</v>
      </c>
    </row>
    <row r="288" spans="1:1">
      <c r="A288" s="32">
        <v>46521</v>
      </c>
    </row>
    <row r="289" spans="1:1">
      <c r="A289" s="32">
        <v>46522</v>
      </c>
    </row>
    <row r="290" spans="1:1">
      <c r="A290" s="32">
        <v>46523</v>
      </c>
    </row>
    <row r="291" spans="1:1">
      <c r="A291" s="32">
        <v>46524</v>
      </c>
    </row>
    <row r="292" spans="1:1">
      <c r="A292" s="32">
        <v>46525</v>
      </c>
    </row>
    <row r="293" spans="1:1">
      <c r="A293" s="32">
        <v>46526</v>
      </c>
    </row>
    <row r="294" spans="1:1">
      <c r="A294" s="32">
        <v>46527</v>
      </c>
    </row>
    <row r="295" spans="1:1">
      <c r="A295" s="32">
        <v>46528</v>
      </c>
    </row>
    <row r="296" spans="1:1">
      <c r="A296" s="32">
        <v>46529</v>
      </c>
    </row>
    <row r="297" spans="1:1">
      <c r="A297" s="32">
        <v>46530</v>
      </c>
    </row>
    <row r="298" spans="1:1">
      <c r="A298" s="32">
        <v>46531</v>
      </c>
    </row>
    <row r="299" spans="1:1">
      <c r="A299" s="32">
        <v>46532</v>
      </c>
    </row>
    <row r="300" spans="1:1">
      <c r="A300" s="32">
        <v>46533</v>
      </c>
    </row>
    <row r="301" spans="1:1">
      <c r="A301" s="32">
        <v>46534</v>
      </c>
    </row>
    <row r="302" spans="1:1">
      <c r="A302" s="32">
        <v>46535</v>
      </c>
    </row>
    <row r="303" spans="1:1">
      <c r="A303" s="32">
        <v>46536</v>
      </c>
    </row>
    <row r="304" spans="1:1">
      <c r="A304" s="32">
        <v>46537</v>
      </c>
    </row>
    <row r="305" spans="1:1">
      <c r="A305" s="32">
        <v>46538</v>
      </c>
    </row>
    <row r="306" spans="1:1">
      <c r="A306" s="32">
        <v>46539</v>
      </c>
    </row>
    <row r="307" spans="1:1">
      <c r="A307" s="32">
        <v>46540</v>
      </c>
    </row>
    <row r="308" spans="1:1">
      <c r="A308" s="32">
        <v>46541</v>
      </c>
    </row>
    <row r="309" spans="1:1">
      <c r="A309" s="32">
        <v>46542</v>
      </c>
    </row>
    <row r="310" spans="1:1">
      <c r="A310" s="32">
        <v>46543</v>
      </c>
    </row>
    <row r="311" spans="1:1">
      <c r="A311" s="32">
        <v>46544</v>
      </c>
    </row>
    <row r="312" spans="1:1">
      <c r="A312" s="32">
        <v>46545</v>
      </c>
    </row>
    <row r="313" spans="1:1">
      <c r="A313" s="32">
        <v>46546</v>
      </c>
    </row>
    <row r="314" spans="1:1">
      <c r="A314" s="32">
        <v>46547</v>
      </c>
    </row>
    <row r="315" spans="1:1">
      <c r="A315" s="32">
        <v>46548</v>
      </c>
    </row>
    <row r="316" spans="1:1">
      <c r="A316" s="32">
        <v>46549</v>
      </c>
    </row>
    <row r="317" spans="1:1">
      <c r="A317" s="32">
        <v>46550</v>
      </c>
    </row>
    <row r="318" spans="1:1">
      <c r="A318" s="32">
        <v>46551</v>
      </c>
    </row>
    <row r="319" spans="1:1">
      <c r="A319" s="32">
        <v>46552</v>
      </c>
    </row>
    <row r="320" spans="1:1">
      <c r="A320" s="32">
        <v>46553</v>
      </c>
    </row>
    <row r="321" spans="1:1">
      <c r="A321" s="32">
        <v>46554</v>
      </c>
    </row>
    <row r="322" spans="1:1">
      <c r="A322" s="32">
        <v>46555</v>
      </c>
    </row>
    <row r="323" spans="1:1">
      <c r="A323" s="32">
        <v>46556</v>
      </c>
    </row>
    <row r="324" spans="1:1">
      <c r="A324" s="32">
        <v>46557</v>
      </c>
    </row>
    <row r="325" spans="1:1">
      <c r="A325" s="32">
        <v>46558</v>
      </c>
    </row>
    <row r="326" spans="1:1">
      <c r="A326" s="32">
        <v>46559</v>
      </c>
    </row>
    <row r="327" spans="1:1">
      <c r="A327" s="32">
        <v>46560</v>
      </c>
    </row>
    <row r="328" spans="1:1">
      <c r="A328" s="32">
        <v>46561</v>
      </c>
    </row>
    <row r="329" spans="1:1">
      <c r="A329" s="32">
        <v>46562</v>
      </c>
    </row>
    <row r="330" spans="1:1">
      <c r="A330" s="32">
        <v>46563</v>
      </c>
    </row>
    <row r="331" spans="1:1">
      <c r="A331" s="32">
        <v>46564</v>
      </c>
    </row>
    <row r="332" spans="1:1">
      <c r="A332" s="32">
        <v>46565</v>
      </c>
    </row>
    <row r="333" spans="1:1">
      <c r="A333" s="32">
        <v>46566</v>
      </c>
    </row>
    <row r="334" spans="1:1">
      <c r="A334" s="32">
        <v>46567</v>
      </c>
    </row>
    <row r="335" spans="1:1">
      <c r="A335" s="32">
        <v>46568</v>
      </c>
    </row>
    <row r="336" spans="1:1">
      <c r="A336" s="32">
        <v>46569</v>
      </c>
    </row>
    <row r="337" spans="1:1">
      <c r="A337" s="32">
        <v>46570</v>
      </c>
    </row>
    <row r="338" spans="1:1">
      <c r="A338" s="32">
        <v>46571</v>
      </c>
    </row>
    <row r="339" spans="1:1">
      <c r="A339" s="32">
        <v>46572</v>
      </c>
    </row>
    <row r="340" spans="1:1">
      <c r="A340" s="32">
        <v>46573</v>
      </c>
    </row>
    <row r="341" spans="1:1">
      <c r="A341" s="32">
        <v>46574</v>
      </c>
    </row>
    <row r="342" spans="1:1">
      <c r="A342" s="32">
        <v>46575</v>
      </c>
    </row>
    <row r="343" spans="1:1">
      <c r="A343" s="32">
        <v>46576</v>
      </c>
    </row>
    <row r="344" spans="1:1">
      <c r="A344" s="32">
        <v>46577</v>
      </c>
    </row>
    <row r="345" spans="1:1">
      <c r="A345" s="32">
        <v>46578</v>
      </c>
    </row>
    <row r="346" spans="1:1">
      <c r="A346" s="32">
        <v>46579</v>
      </c>
    </row>
    <row r="347" spans="1:1">
      <c r="A347" s="32">
        <v>46580</v>
      </c>
    </row>
    <row r="348" spans="1:1">
      <c r="A348" s="32">
        <v>46581</v>
      </c>
    </row>
    <row r="349" spans="1:1">
      <c r="A349" s="32">
        <v>46582</v>
      </c>
    </row>
    <row r="350" spans="1:1">
      <c r="A350" s="32">
        <v>46583</v>
      </c>
    </row>
    <row r="351" spans="1:1">
      <c r="A351" s="32">
        <v>46584</v>
      </c>
    </row>
    <row r="352" spans="1:1">
      <c r="A352" s="32">
        <v>46585</v>
      </c>
    </row>
    <row r="353" spans="1:1">
      <c r="A353" s="32">
        <v>46586</v>
      </c>
    </row>
    <row r="354" spans="1:1">
      <c r="A354" s="32">
        <v>46587</v>
      </c>
    </row>
    <row r="355" spans="1:1">
      <c r="A355" s="32">
        <v>46588</v>
      </c>
    </row>
    <row r="356" spans="1:1">
      <c r="A356" s="32">
        <v>46589</v>
      </c>
    </row>
    <row r="357" spans="1:1">
      <c r="A357" s="32">
        <v>46590</v>
      </c>
    </row>
    <row r="358" spans="1:1">
      <c r="A358" s="32">
        <v>46591</v>
      </c>
    </row>
    <row r="359" spans="1:1">
      <c r="A359" s="32">
        <v>46592</v>
      </c>
    </row>
    <row r="360" spans="1:1">
      <c r="A360" s="32">
        <v>46593</v>
      </c>
    </row>
    <row r="361" spans="1:1">
      <c r="A361" s="32">
        <v>46594</v>
      </c>
    </row>
    <row r="362" spans="1:1">
      <c r="A362" s="32">
        <v>46595</v>
      </c>
    </row>
    <row r="363" spans="1:1">
      <c r="A363" s="32">
        <v>46596</v>
      </c>
    </row>
    <row r="364" spans="1:1">
      <c r="A364" s="32">
        <v>46597</v>
      </c>
    </row>
    <row r="365" spans="1:1">
      <c r="A365" s="32">
        <v>46598</v>
      </c>
    </row>
    <row r="366" spans="1:1">
      <c r="A366" s="32">
        <v>46599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攻守紀錄表</vt:lpstr>
      <vt:lpstr>日期清單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克強 嚴</cp:lastModifiedBy>
  <cp:revision>0</cp:revision>
  <cp:lastPrinted>2026-08-30T12:54:30Z</cp:lastPrinted>
  <dcterms:created xsi:type="dcterms:W3CDTF">2026-08-30T12:49:56Z</dcterms:created>
  <dcterms:modified xsi:type="dcterms:W3CDTF">2026-08-31T01:28:07Z</dcterms:modified>
  <dc:language>en-US</dc:language>
</cp:coreProperties>
</file>